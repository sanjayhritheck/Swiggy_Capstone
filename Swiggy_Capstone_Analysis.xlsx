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cuisine_revenue" sheetId="1" r:id="rId5"/>
    <sheet state="visible" name="Pivot Table 1" sheetId="2" r:id="rId6"/>
    <sheet state="visible" name="Cuisine Targets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<sst xmlns="http://schemas.openxmlformats.org/spreadsheetml/2006/main" count="68" uniqueCount="17">
  <si>
    <t>Cuisine</t>
  </si>
  <si>
    <t>cuisine</t>
  </si>
  <si>
    <t>Target Revenue</t>
  </si>
  <si>
    <t>month</t>
  </si>
  <si>
    <t>North Indian</t>
  </si>
  <si>
    <t>order_count</t>
  </si>
  <si>
    <t>total_revenue</t>
  </si>
  <si>
    <t>Chinese</t>
  </si>
  <si>
    <t>avg_revenue</t>
  </si>
  <si>
    <t>South Indian</t>
  </si>
  <si>
    <t>Fast Food</t>
  </si>
  <si>
    <t>Desserts</t>
  </si>
  <si>
    <t>Italian</t>
  </si>
  <si>
    <t>SUM of total_revenue</t>
  </si>
  <si>
    <t>Actual Revenue</t>
  </si>
  <si>
    <t>Variance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</si>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</sst>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5" sheet="monthly_cuisine_revenue"/>
  </cacheSource>
  <cacheFields>
    <cacheField name="cuisine" numFmtId="0">
      <sharedItems>
        <s v="Chinese"/>
        <s v="Desserts"/>
        <s v="Fast Food"/>
        <s v="Italian"/>
        <s v="North Indian"/>
        <s v="South Indian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16.0"/>
        <n v="15.0"/>
        <n v="10.0"/>
        <n v="18.0"/>
        <n v="3.0"/>
        <n v="2.0"/>
        <n v="4.0"/>
        <n v="1.0"/>
        <n v="5.0"/>
        <n v="9.0"/>
        <n v="8.0"/>
        <n v="6.0"/>
        <n v="25.0"/>
        <n v="26.0"/>
        <n v="27.0"/>
        <n v="24.0"/>
        <n v="7.0"/>
      </sharedItems>
    </cacheField>
    <cacheField name="total_revenue" numFmtId="0">
      <sharedItems containsSemiMixedTypes="0" containsString="0" containsNumber="1" containsInteger="1">
        <n v="24583.0"/>
        <n v="20381.0"/>
        <n v="20273.0"/>
        <n v="18695.0"/>
        <n v="14677.0"/>
        <n v="29231.0"/>
        <n v="5706.0"/>
        <n v="3953.0"/>
        <n v="2809.0"/>
        <n v="5633.0"/>
        <n v="1593.0"/>
        <n v="10499.0"/>
        <n v="6277.0"/>
        <n v="10495.0"/>
        <n v="14644.0"/>
        <n v="8546.0"/>
        <n v="4662.0"/>
        <n v="1716.0"/>
        <n v="1142.0"/>
        <n v="4510.0"/>
        <n v="1455.0"/>
        <n v="5912.0"/>
        <n v="37468.0"/>
        <n v="38819.0"/>
        <n v="25803.0"/>
        <n v="39368.0"/>
        <n v="33707.0"/>
        <n v="41132.0"/>
        <n v="3339.0"/>
        <n v="11754.0"/>
        <n v="14818.0"/>
        <n v="10542.0"/>
        <n v="10130.0"/>
        <n v="12834.0"/>
      </sharedItems>
    </cacheField>
    <cacheField name="avg_revenue" numFmtId="0">
      <sharedItems containsSemiMixedTypes="0" containsString="0" containsNumber="1">
        <n v="1536.4375"/>
        <n v="1273.8125"/>
        <n v="1267.0625"/>
        <n v="1246.33333333333"/>
        <n v="1467.7"/>
        <n v="1623.94444444444"/>
        <n v="1902.0"/>
        <n v="1317.66666666666"/>
        <n v="1404.5"/>
        <n v="1408.25"/>
        <n v="1593.0"/>
        <n v="1049.9"/>
        <n v="1255.4"/>
        <n v="1166.11111111111"/>
        <n v="1830.5"/>
        <n v="1424.33333333333"/>
        <n v="1165.5"/>
        <n v="1716.0"/>
        <n v="1142.0"/>
        <n v="902.0"/>
        <n v="1455.0"/>
        <n v="1970.66666666666"/>
        <n v="1498.72"/>
        <n v="1493.03846153846"/>
        <n v="1032.12"/>
        <n v="1458.07407407407"/>
        <n v="1404.45833333333"/>
        <n v="1523.4074074074"/>
        <n v="1113.0"/>
        <n v="1306.0"/>
        <n v="1481.8"/>
        <n v="1317.75"/>
        <n v="1447.14285714285"/>
        <n v="1283.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H9" firstHeaderRow="0" firstDataRow="1" firstDataCol="1"/>
  <pivotFields>
    <pivotField name="cuisine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axis="axisCol" compact="0" numFmtId="164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order_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0"/>
  </rowFields>
  <colFields>
    <field x="1"/>
  </colFields>
  <dataFields>
    <dataField name="SUM of total_revenue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</row>
    <row r="2">
      <c r="A2" s="1" t="s">
        <v>7</v>
      </c>
      <c r="B2" s="2">
        <v>46023.0</v>
      </c>
      <c r="C2" s="1">
        <v>16.0</v>
      </c>
      <c r="D2" s="1">
        <v>24583.0</v>
      </c>
      <c r="E2" s="1">
        <v>1536.4375</v>
      </c>
    </row>
    <row r="3">
      <c r="A3" s="1" t="s">
        <v>7</v>
      </c>
      <c r="B3" s="2">
        <v>46054.0</v>
      </c>
      <c r="C3" s="1">
        <v>16.0</v>
      </c>
      <c r="D3" s="1">
        <v>20381.0</v>
      </c>
      <c r="E3" s="1">
        <v>1273.8125</v>
      </c>
    </row>
    <row r="4">
      <c r="A4" s="1" t="s">
        <v>7</v>
      </c>
      <c r="B4" s="2">
        <v>46082.0</v>
      </c>
      <c r="C4" s="1">
        <v>16.0</v>
      </c>
      <c r="D4" s="1">
        <v>20273.0</v>
      </c>
      <c r="E4" s="1">
        <v>1267.0625</v>
      </c>
    </row>
    <row r="5">
      <c r="A5" s="1" t="s">
        <v>7</v>
      </c>
      <c r="B5" s="2">
        <v>46113.0</v>
      </c>
      <c r="C5" s="1">
        <v>15.0</v>
      </c>
      <c r="D5" s="1">
        <v>18695.0</v>
      </c>
      <c r="E5" s="1">
        <v>1246.33333333333</v>
      </c>
    </row>
    <row r="6">
      <c r="A6" s="1" t="s">
        <v>7</v>
      </c>
      <c r="B6" s="2">
        <v>46143.0</v>
      </c>
      <c r="C6" s="1">
        <v>10.0</v>
      </c>
      <c r="D6" s="1">
        <v>14677.0</v>
      </c>
      <c r="E6" s="1">
        <v>1467.7</v>
      </c>
    </row>
    <row r="7">
      <c r="A7" s="1" t="s">
        <v>7</v>
      </c>
      <c r="B7" s="2">
        <v>46174.0</v>
      </c>
      <c r="C7" s="1">
        <v>18.0</v>
      </c>
      <c r="D7" s="1">
        <v>29231.0</v>
      </c>
      <c r="E7" s="1">
        <v>1623.94444444444</v>
      </c>
    </row>
    <row r="8">
      <c r="A8" s="1" t="s">
        <v>11</v>
      </c>
      <c r="B8" s="2">
        <v>46023.0</v>
      </c>
      <c r="C8" s="1">
        <v>3.0</v>
      </c>
      <c r="D8" s="1">
        <v>5706.0</v>
      </c>
      <c r="E8" s="1">
        <v>1902.0</v>
      </c>
    </row>
    <row r="9">
      <c r="A9" s="1" t="s">
        <v>11</v>
      </c>
      <c r="B9" s="2">
        <v>46054.0</v>
      </c>
      <c r="C9" s="1">
        <v>3.0</v>
      </c>
      <c r="D9" s="1">
        <v>3953.0</v>
      </c>
      <c r="E9" s="1">
        <v>1317.66666666666</v>
      </c>
    </row>
    <row r="10">
      <c r="A10" s="1" t="s">
        <v>11</v>
      </c>
      <c r="B10" s="2">
        <v>46082.0</v>
      </c>
      <c r="C10" s="1">
        <v>2.0</v>
      </c>
      <c r="D10" s="1">
        <v>2809.0</v>
      </c>
      <c r="E10" s="1">
        <v>1404.5</v>
      </c>
    </row>
    <row r="11">
      <c r="A11" s="1" t="s">
        <v>11</v>
      </c>
      <c r="B11" s="2">
        <v>46143.0</v>
      </c>
      <c r="C11" s="1">
        <v>4.0</v>
      </c>
      <c r="D11" s="1">
        <v>5633.0</v>
      </c>
      <c r="E11" s="1">
        <v>1408.25</v>
      </c>
    </row>
    <row r="12">
      <c r="A12" s="1" t="s">
        <v>11</v>
      </c>
      <c r="B12" s="2">
        <v>46174.0</v>
      </c>
      <c r="C12" s="1">
        <v>1.0</v>
      </c>
      <c r="D12" s="1">
        <v>1593.0</v>
      </c>
      <c r="E12" s="1">
        <v>1593.0</v>
      </c>
    </row>
    <row r="13">
      <c r="A13" s="1" t="s">
        <v>10</v>
      </c>
      <c r="B13" s="2">
        <v>46023.0</v>
      </c>
      <c r="C13" s="1">
        <v>10.0</v>
      </c>
      <c r="D13" s="1">
        <v>10499.0</v>
      </c>
      <c r="E13" s="1">
        <v>1049.9</v>
      </c>
    </row>
    <row r="14">
      <c r="A14" s="1" t="s">
        <v>10</v>
      </c>
      <c r="B14" s="2">
        <v>46054.0</v>
      </c>
      <c r="C14" s="1">
        <v>5.0</v>
      </c>
      <c r="D14" s="1">
        <v>6277.0</v>
      </c>
      <c r="E14" s="1">
        <v>1255.4</v>
      </c>
    </row>
    <row r="15">
      <c r="A15" s="1" t="s">
        <v>10</v>
      </c>
      <c r="B15" s="2">
        <v>46082.0</v>
      </c>
      <c r="C15" s="1">
        <v>9.0</v>
      </c>
      <c r="D15" s="1">
        <v>10495.0</v>
      </c>
      <c r="E15" s="1">
        <v>1166.11111111111</v>
      </c>
    </row>
    <row r="16">
      <c r="A16" s="1" t="s">
        <v>10</v>
      </c>
      <c r="B16" s="2">
        <v>46113.0</v>
      </c>
      <c r="C16" s="1">
        <v>8.0</v>
      </c>
      <c r="D16" s="1">
        <v>14644.0</v>
      </c>
      <c r="E16" s="1">
        <v>1830.5</v>
      </c>
    </row>
    <row r="17">
      <c r="A17" s="1" t="s">
        <v>10</v>
      </c>
      <c r="B17" s="2">
        <v>46143.0</v>
      </c>
      <c r="C17" s="1">
        <v>6.0</v>
      </c>
      <c r="D17" s="1">
        <v>8546.0</v>
      </c>
      <c r="E17" s="1">
        <v>1424.33333333333</v>
      </c>
    </row>
    <row r="18">
      <c r="A18" s="1" t="s">
        <v>10</v>
      </c>
      <c r="B18" s="2">
        <v>46174.0</v>
      </c>
      <c r="C18" s="1">
        <v>4.0</v>
      </c>
      <c r="D18" s="1">
        <v>4662.0</v>
      </c>
      <c r="E18" s="1">
        <v>1165.5</v>
      </c>
    </row>
    <row r="19">
      <c r="A19" s="1" t="s">
        <v>12</v>
      </c>
      <c r="B19" s="2">
        <v>46023.0</v>
      </c>
      <c r="C19" s="1">
        <v>1.0</v>
      </c>
      <c r="D19" s="1">
        <v>1716.0</v>
      </c>
      <c r="E19" s="1">
        <v>1716.0</v>
      </c>
    </row>
    <row r="20">
      <c r="A20" s="1" t="s">
        <v>12</v>
      </c>
      <c r="B20" s="2">
        <v>46054.0</v>
      </c>
      <c r="C20" s="1">
        <v>1.0</v>
      </c>
      <c r="D20" s="1">
        <v>1142.0</v>
      </c>
      <c r="E20" s="1">
        <v>1142.0</v>
      </c>
    </row>
    <row r="21">
      <c r="A21" s="1" t="s">
        <v>12</v>
      </c>
      <c r="B21" s="2">
        <v>46113.0</v>
      </c>
      <c r="C21" s="1">
        <v>5.0</v>
      </c>
      <c r="D21" s="1">
        <v>4510.0</v>
      </c>
      <c r="E21" s="1">
        <v>902.0</v>
      </c>
    </row>
    <row r="22">
      <c r="A22" s="1" t="s">
        <v>12</v>
      </c>
      <c r="B22" s="2">
        <v>46143.0</v>
      </c>
      <c r="C22" s="1">
        <v>1.0</v>
      </c>
      <c r="D22" s="1">
        <v>1455.0</v>
      </c>
      <c r="E22" s="1">
        <v>1455.0</v>
      </c>
    </row>
    <row r="23">
      <c r="A23" s="1" t="s">
        <v>12</v>
      </c>
      <c r="B23" s="2">
        <v>46174.0</v>
      </c>
      <c r="C23" s="1">
        <v>3.0</v>
      </c>
      <c r="D23" s="1">
        <v>5912.0</v>
      </c>
      <c r="E23" s="1">
        <v>1970.66666666666</v>
      </c>
    </row>
    <row r="24">
      <c r="A24" s="1" t="s">
        <v>4</v>
      </c>
      <c r="B24" s="2">
        <v>46023.0</v>
      </c>
      <c r="C24" s="1">
        <v>25.0</v>
      </c>
      <c r="D24" s="1">
        <v>37468.0</v>
      </c>
      <c r="E24" s="1">
        <v>1498.72</v>
      </c>
    </row>
    <row r="25">
      <c r="A25" s="1" t="s">
        <v>4</v>
      </c>
      <c r="B25" s="2">
        <v>46054.0</v>
      </c>
      <c r="C25" s="1">
        <v>26.0</v>
      </c>
      <c r="D25" s="1">
        <v>38819.0</v>
      </c>
      <c r="E25" s="1">
        <v>1493.03846153846</v>
      </c>
    </row>
    <row r="26">
      <c r="A26" s="1" t="s">
        <v>4</v>
      </c>
      <c r="B26" s="2">
        <v>46082.0</v>
      </c>
      <c r="C26" s="1">
        <v>25.0</v>
      </c>
      <c r="D26" s="1">
        <v>25803.0</v>
      </c>
      <c r="E26" s="1">
        <v>1032.12</v>
      </c>
    </row>
    <row r="27">
      <c r="A27" s="1" t="s">
        <v>4</v>
      </c>
      <c r="B27" s="2">
        <v>46113.0</v>
      </c>
      <c r="C27" s="1">
        <v>27.0</v>
      </c>
      <c r="D27" s="1">
        <v>39368.0</v>
      </c>
      <c r="E27" s="1">
        <v>1458.07407407407</v>
      </c>
    </row>
    <row r="28">
      <c r="A28" s="1" t="s">
        <v>4</v>
      </c>
      <c r="B28" s="2">
        <v>46143.0</v>
      </c>
      <c r="C28" s="1">
        <v>24.0</v>
      </c>
      <c r="D28" s="1">
        <v>33707.0</v>
      </c>
      <c r="E28" s="1">
        <v>1404.45833333333</v>
      </c>
    </row>
    <row r="29">
      <c r="A29" s="1" t="s">
        <v>4</v>
      </c>
      <c r="B29" s="2">
        <v>46174.0</v>
      </c>
      <c r="C29" s="1">
        <v>27.0</v>
      </c>
      <c r="D29" s="1">
        <v>41132.0</v>
      </c>
      <c r="E29" s="1">
        <v>1523.4074074074</v>
      </c>
    </row>
    <row r="30">
      <c r="A30" s="1" t="s">
        <v>9</v>
      </c>
      <c r="B30" s="2">
        <v>46023.0</v>
      </c>
      <c r="C30" s="1">
        <v>3.0</v>
      </c>
      <c r="D30" s="1">
        <v>3339.0</v>
      </c>
      <c r="E30" s="1">
        <v>1113.0</v>
      </c>
    </row>
    <row r="31">
      <c r="A31" s="1" t="s">
        <v>9</v>
      </c>
      <c r="B31" s="2">
        <v>46054.0</v>
      </c>
      <c r="C31" s="1">
        <v>9.0</v>
      </c>
      <c r="D31" s="1">
        <v>11754.0</v>
      </c>
      <c r="E31" s="1">
        <v>1306.0</v>
      </c>
    </row>
    <row r="32">
      <c r="A32" s="1" t="s">
        <v>9</v>
      </c>
      <c r="B32" s="2">
        <v>46082.0</v>
      </c>
      <c r="C32" s="1">
        <v>10.0</v>
      </c>
      <c r="D32" s="1">
        <v>14818.0</v>
      </c>
      <c r="E32" s="1">
        <v>1481.8</v>
      </c>
    </row>
    <row r="33">
      <c r="A33" s="1" t="s">
        <v>9</v>
      </c>
      <c r="B33" s="2">
        <v>46113.0</v>
      </c>
      <c r="C33" s="1">
        <v>8.0</v>
      </c>
      <c r="D33" s="1">
        <v>10542.0</v>
      </c>
      <c r="E33" s="1">
        <v>1317.75</v>
      </c>
    </row>
    <row r="34">
      <c r="A34" s="1" t="s">
        <v>9</v>
      </c>
      <c r="B34" s="2">
        <v>46143.0</v>
      </c>
      <c r="C34" s="1">
        <v>7.0</v>
      </c>
      <c r="D34" s="1">
        <v>10130.0</v>
      </c>
      <c r="E34" s="1">
        <v>1447.14285714285</v>
      </c>
    </row>
    <row r="35">
      <c r="A35" s="1" t="s">
        <v>9</v>
      </c>
      <c r="B35" s="2">
        <v>46174.0</v>
      </c>
      <c r="C35" s="1">
        <v>10.0</v>
      </c>
      <c r="D35" s="1">
        <v>12834.0</v>
      </c>
      <c r="E35" s="1">
        <v>1283.4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J1" s="1" t="s">
        <v>0</v>
      </c>
      <c r="K1" s="1" t="s">
        <v>14</v>
      </c>
      <c r="L1" s="1" t="s">
        <v>2</v>
      </c>
      <c r="M1" s="1" t="s">
        <v>15</v>
      </c>
    </row>
    <row r="2">
      <c r="J2" s="1" t="s">
        <v>7</v>
      </c>
      <c r="K2" s="3">
        <f t="shared" ref="K2:K7" si="1">H3</f>
        <v>127840</v>
      </c>
      <c r="L2" s="3">
        <f>VLOOKUP(J2,'Cuisine Targets'!A:B,2,FALSE)</f>
        <v>140000</v>
      </c>
      <c r="M2" s="3">
        <f t="shared" ref="M2:M7" si="2">K2-L2</f>
        <v>-12160</v>
      </c>
    </row>
    <row r="3">
      <c r="J3" s="1" t="s">
        <v>11</v>
      </c>
      <c r="K3" s="3">
        <f t="shared" si="1"/>
        <v>19694</v>
      </c>
      <c r="L3" s="3">
        <f>VLOOKUP(J3,'Cuisine Targets'!A:B,2,FALSE)</f>
        <v>25000</v>
      </c>
      <c r="M3" s="3">
        <f t="shared" si="2"/>
        <v>-5306</v>
      </c>
    </row>
    <row r="4">
      <c r="J4" s="1" t="s">
        <v>10</v>
      </c>
      <c r="K4" s="3">
        <f t="shared" si="1"/>
        <v>55123</v>
      </c>
      <c r="L4" s="3">
        <f>VLOOKUP(J4,'Cuisine Targets'!A:B,2,FALSE)</f>
        <v>60000</v>
      </c>
      <c r="M4" s="3">
        <f t="shared" si="2"/>
        <v>-4877</v>
      </c>
    </row>
    <row r="5">
      <c r="J5" s="1" t="s">
        <v>12</v>
      </c>
      <c r="K5" s="3">
        <f t="shared" si="1"/>
        <v>14735</v>
      </c>
      <c r="L5" s="3">
        <f>VLOOKUP(J5,'Cuisine Targets'!A:B,2,FALSE)</f>
        <v>10000</v>
      </c>
      <c r="M5" s="3">
        <f t="shared" si="2"/>
        <v>4735</v>
      </c>
    </row>
    <row r="6">
      <c r="J6" s="1" t="s">
        <v>4</v>
      </c>
      <c r="K6" s="3">
        <f t="shared" si="1"/>
        <v>216297</v>
      </c>
      <c r="L6" s="3">
        <f>VLOOKUP(J6,'Cuisine Targets'!A:B,2,FALSE)</f>
        <v>180000</v>
      </c>
      <c r="M6" s="3">
        <f t="shared" si="2"/>
        <v>36297</v>
      </c>
    </row>
    <row r="7">
      <c r="J7" s="1" t="s">
        <v>9</v>
      </c>
      <c r="K7" s="3">
        <f t="shared" si="1"/>
        <v>63417</v>
      </c>
      <c r="L7" s="3">
        <f>VLOOKUP(J7,'Cuisine Targets'!A:B,2,FALSE)</f>
        <v>50000</v>
      </c>
      <c r="M7" s="3">
        <f t="shared" si="2"/>
        <v>13417</v>
      </c>
    </row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4</v>
      </c>
      <c r="B2" s="1">
        <v>180000.0</v>
      </c>
    </row>
    <row r="3">
      <c r="A3" s="1" t="s">
        <v>7</v>
      </c>
      <c r="B3" s="1">
        <v>140000.0</v>
      </c>
    </row>
    <row r="4">
      <c r="A4" s="1" t="s">
        <v>9</v>
      </c>
      <c r="B4" s="1">
        <v>50000.0</v>
      </c>
    </row>
    <row r="5">
      <c r="A5" s="1" t="s">
        <v>10</v>
      </c>
      <c r="B5" s="1">
        <v>60000.0</v>
      </c>
    </row>
    <row r="6">
      <c r="A6" s="1" t="s">
        <v>11</v>
      </c>
      <c r="B6" s="1">
        <v>25000.0</v>
      </c>
    </row>
    <row r="7">
      <c r="A7" s="1" t="s">
        <v>12</v>
      </c>
      <c r="B7" s="1">
        <v>10000.0</v>
      </c>
    </row>
  </sheetData>
  <drawing r:id="rId1"/>
</worksheet>
</file>